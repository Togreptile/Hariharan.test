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hran\Desktop\"/>
    </mc:Choice>
  </mc:AlternateContent>
  <xr:revisionPtr revIDLastSave="0" documentId="8_{3570BE89-2793-4987-B929-0A310A0D41E8}" xr6:coauthVersionLast="47" xr6:coauthVersionMax="47" xr10:uidLastSave="{00000000-0000-0000-0000-000000000000}"/>
  <bookViews>
    <workbookView xWindow="-108" yWindow="-108" windowWidth="23256" windowHeight="12456" xr2:uid="{F034FB00-1C49-4485-9614-E819F078A4CB}"/>
  </bookViews>
  <sheets>
    <sheet name="Sheet1" sheetId="1" r:id="rId1"/>
  </sheets>
  <definedNames>
    <definedName name="_xlchart.v1.0" hidden="1">Sheet1!$H$34</definedName>
    <definedName name="solver_adj" localSheetId="0" hidden="1">Sheet1!$E$11:$E$14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Sheet1!$E$11:$E$14</definedName>
    <definedName name="solver_lhs2" localSheetId="0" hidden="1">Sheet1!$E$30</definedName>
    <definedName name="solver_lhs3" localSheetId="0" hidden="1">Sheet1!$E$31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Sheet1!$I$27</definedName>
    <definedName name="solver_pre" localSheetId="0" hidden="1">0.000001</definedName>
    <definedName name="solver_rbv" localSheetId="0" hidden="1">2</definedName>
    <definedName name="solver_rel1" localSheetId="0" hidden="1">4</definedName>
    <definedName name="solver_rel2" localSheetId="0" hidden="1">1</definedName>
    <definedName name="solver_rel3" localSheetId="0" hidden="1">1</definedName>
    <definedName name="solver_rhs1" localSheetId="0" hidden="1">"integer"</definedName>
    <definedName name="solver_rhs2" localSheetId="0" hidden="1">Sheet1!$G$30</definedName>
    <definedName name="solver_rhs3" localSheetId="0" hidden="1">Sheet1!$G$31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1" i="1" l="1"/>
  <c r="F23" i="1"/>
  <c r="F24" i="1"/>
  <c r="H23" i="1"/>
  <c r="I23" i="1" s="1"/>
  <c r="I24" i="1"/>
  <c r="I25" i="1"/>
  <c r="I26" i="1"/>
  <c r="G30" i="1"/>
  <c r="H24" i="1"/>
  <c r="H25" i="1"/>
  <c r="H26" i="1"/>
  <c r="G24" i="1"/>
  <c r="G25" i="1"/>
  <c r="G26" i="1"/>
  <c r="G23" i="1"/>
  <c r="F25" i="1"/>
  <c r="F26" i="1"/>
  <c r="I12" i="1"/>
  <c r="I13" i="1"/>
  <c r="I14" i="1"/>
  <c r="I11" i="1"/>
  <c r="G12" i="1"/>
  <c r="G13" i="1"/>
  <c r="G14" i="1"/>
  <c r="G11" i="1"/>
  <c r="I15" i="1" l="1"/>
  <c r="E31" i="1" s="1"/>
  <c r="G15" i="1"/>
  <c r="E30" i="1" s="1"/>
  <c r="I27" i="1"/>
</calcChain>
</file>

<file path=xl/sharedStrings.xml><?xml version="1.0" encoding="utf-8"?>
<sst xmlns="http://schemas.openxmlformats.org/spreadsheetml/2006/main" count="35" uniqueCount="29">
  <si>
    <t>given iformation</t>
  </si>
  <si>
    <t xml:space="preserve">wood available </t>
  </si>
  <si>
    <t>wood cost</t>
  </si>
  <si>
    <t>labour available</t>
  </si>
  <si>
    <t>labour cost</t>
  </si>
  <si>
    <t>product</t>
  </si>
  <si>
    <t>count</t>
  </si>
  <si>
    <t>wood per unit</t>
  </si>
  <si>
    <t xml:space="preserve">product </t>
  </si>
  <si>
    <t>unfinished tables</t>
  </si>
  <si>
    <t>finished tables</t>
  </si>
  <si>
    <t>finished chairs</t>
  </si>
  <si>
    <t>total wood</t>
  </si>
  <si>
    <t>labour per unit (hrs)</t>
  </si>
  <si>
    <t>total labour( hrs)</t>
  </si>
  <si>
    <t>unfinished chairs</t>
  </si>
  <si>
    <t>revenue per unit</t>
  </si>
  <si>
    <t>wood cost per unit</t>
  </si>
  <si>
    <t>per hour</t>
  </si>
  <si>
    <t>per board</t>
  </si>
  <si>
    <t>hours</t>
  </si>
  <si>
    <t>labour cost per unit</t>
  </si>
  <si>
    <t>profit per unit</t>
  </si>
  <si>
    <t>constraints</t>
  </si>
  <si>
    <t>wood avilability</t>
  </si>
  <si>
    <t>labour availability</t>
  </si>
  <si>
    <t>interger constraints</t>
  </si>
  <si>
    <t>&lt;=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</si>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</sst>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A4DEF-4315-41B2-A855-B49008081E4F}" name="Table2" displayName="Table2" ref="D10:I15" totalsRowShown="0">
  <autoFilter ref="D10:I15" xr:uid="{EDEA4DEF-4315-41B2-A855-B49008081E4F}"/>
  <tableColumns count="6">
    <tableColumn id="1" xr3:uid="{8C905DAF-4A85-4D2A-8062-A327E18A0AAA}" name="product "/>
    <tableColumn id="2" xr3:uid="{91C8FDD0-8EC7-4A67-ADFF-3AADC9A99B22}" name="count"/>
    <tableColumn id="3" xr3:uid="{44D07540-398E-4F8F-9C05-A44F7C1FF1DC}" name="wood per unit"/>
    <tableColumn id="4" xr3:uid="{AC3C9FE4-3588-400C-84D5-3AAFD4CDFFEA}" name="total wood"/>
    <tableColumn id="5" xr3:uid="{0A8361B4-BAD0-4423-8F34-1BD38C2BC0B7}" name="labour per unit (hrs)"/>
    <tableColumn id="6" xr3:uid="{3764C1B1-E074-4CF7-9096-55EB324E0622}" name="total labour( h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C548-BB4D-426B-9322-21191C9893E9}">
  <dimension ref="A2:I32"/>
  <sheetViews>
    <sheetView tabSelected="1" topLeftCell="A6" zoomScaleNormal="100" workbookViewId="0">
      <selection activeCell="F32" sqref="F32"/>
    </sheetView>
  </sheetViews>
  <sheetFormatPr defaultRowHeight="14.4" x14ac:dyDescent="0.3"/>
  <cols>
    <col min="3" max="3" width="12.21875" customWidth="1"/>
    <col min="4" max="4" width="16.6640625" customWidth="1"/>
    <col min="5" max="5" width="15.33203125" customWidth="1"/>
    <col min="6" max="6" width="17.6640625" customWidth="1"/>
    <col min="7" max="7" width="17.88671875" customWidth="1"/>
    <col min="8" max="8" width="19.109375" customWidth="1"/>
    <col min="9" max="9" width="16.44140625" customWidth="1"/>
  </cols>
  <sheetData>
    <row r="2" spans="1:9" x14ac:dyDescent="0.3">
      <c r="A2" t="s">
        <v>0</v>
      </c>
    </row>
    <row r="3" spans="1:9" x14ac:dyDescent="0.3">
      <c r="A3" t="s">
        <v>1</v>
      </c>
      <c r="C3">
        <v>70000</v>
      </c>
    </row>
    <row r="4" spans="1:9" x14ac:dyDescent="0.3">
      <c r="A4" t="s">
        <v>2</v>
      </c>
      <c r="C4">
        <v>1.25</v>
      </c>
      <c r="D4" t="s">
        <v>19</v>
      </c>
    </row>
    <row r="5" spans="1:9" x14ac:dyDescent="0.3">
      <c r="A5" t="s">
        <v>3</v>
      </c>
      <c r="C5">
        <v>6000</v>
      </c>
      <c r="D5" t="s">
        <v>20</v>
      </c>
    </row>
    <row r="6" spans="1:9" x14ac:dyDescent="0.3">
      <c r="A6" t="s">
        <v>4</v>
      </c>
      <c r="C6">
        <v>15.75</v>
      </c>
      <c r="D6" t="s">
        <v>18</v>
      </c>
    </row>
    <row r="9" spans="1:9" x14ac:dyDescent="0.3">
      <c r="D9" s="1"/>
      <c r="E9" s="2"/>
      <c r="F9" s="2"/>
      <c r="G9" s="2"/>
      <c r="H9" s="2"/>
      <c r="I9" s="3"/>
    </row>
    <row r="10" spans="1:9" x14ac:dyDescent="0.3">
      <c r="D10" s="1" t="s">
        <v>8</v>
      </c>
      <c r="E10" s="2" t="s">
        <v>6</v>
      </c>
      <c r="F10" s="2" t="s">
        <v>7</v>
      </c>
      <c r="G10" s="2" t="s">
        <v>12</v>
      </c>
      <c r="H10" s="2" t="s">
        <v>13</v>
      </c>
      <c r="I10" s="3" t="s">
        <v>14</v>
      </c>
    </row>
    <row r="11" spans="1:9" x14ac:dyDescent="0.3">
      <c r="D11" t="s">
        <v>9</v>
      </c>
      <c r="E11">
        <v>1</v>
      </c>
      <c r="F11">
        <v>40</v>
      </c>
      <c r="G11">
        <f>E11*F11</f>
        <v>40</v>
      </c>
      <c r="H11">
        <v>2</v>
      </c>
      <c r="I11">
        <f>E11*H11</f>
        <v>2</v>
      </c>
    </row>
    <row r="12" spans="1:9" x14ac:dyDescent="0.3">
      <c r="D12" t="s">
        <v>15</v>
      </c>
      <c r="E12">
        <v>1665</v>
      </c>
      <c r="F12">
        <v>30</v>
      </c>
      <c r="G12">
        <f t="shared" ref="G12:G14" si="0">E12*F12</f>
        <v>49950</v>
      </c>
      <c r="H12">
        <v>2</v>
      </c>
      <c r="I12">
        <f t="shared" ref="I12:I14" si="1">E12*H12</f>
        <v>3330</v>
      </c>
    </row>
    <row r="13" spans="1:9" x14ac:dyDescent="0.3">
      <c r="D13" t="s">
        <v>10</v>
      </c>
      <c r="E13">
        <v>0</v>
      </c>
      <c r="F13">
        <v>40</v>
      </c>
      <c r="G13">
        <f t="shared" si="0"/>
        <v>0</v>
      </c>
      <c r="H13">
        <v>5</v>
      </c>
      <c r="I13">
        <f t="shared" si="1"/>
        <v>0</v>
      </c>
    </row>
    <row r="14" spans="1:9" x14ac:dyDescent="0.3">
      <c r="D14" t="s">
        <v>11</v>
      </c>
      <c r="E14">
        <v>667</v>
      </c>
      <c r="F14">
        <v>30</v>
      </c>
      <c r="G14">
        <f t="shared" si="0"/>
        <v>20010</v>
      </c>
      <c r="H14">
        <v>4</v>
      </c>
      <c r="I14">
        <f t="shared" si="1"/>
        <v>2668</v>
      </c>
    </row>
    <row r="15" spans="1:9" x14ac:dyDescent="0.3">
      <c r="G15">
        <f>SUM(G11:G14)</f>
        <v>70000</v>
      </c>
      <c r="I15">
        <f>SUM(I11:J14)</f>
        <v>6000</v>
      </c>
    </row>
    <row r="22" spans="4:9" x14ac:dyDescent="0.3">
      <c r="D22" t="s">
        <v>5</v>
      </c>
      <c r="E22" t="s">
        <v>16</v>
      </c>
      <c r="F22" t="s">
        <v>17</v>
      </c>
      <c r="G22" t="s">
        <v>21</v>
      </c>
      <c r="H22" t="s">
        <v>22</v>
      </c>
      <c r="I22" t="s">
        <v>28</v>
      </c>
    </row>
    <row r="23" spans="4:9" x14ac:dyDescent="0.3">
      <c r="D23" s="4" t="s">
        <v>9</v>
      </c>
      <c r="E23">
        <v>110</v>
      </c>
      <c r="F23">
        <f>F11*C4</f>
        <v>50</v>
      </c>
      <c r="G23">
        <f>H11*$C$6</f>
        <v>31.5</v>
      </c>
      <c r="H23">
        <f>E23-F23-G23</f>
        <v>28.5</v>
      </c>
      <c r="I23">
        <f>E11*H23</f>
        <v>28.5</v>
      </c>
    </row>
    <row r="24" spans="4:9" x14ac:dyDescent="0.3">
      <c r="D24" s="5" t="s">
        <v>15</v>
      </c>
      <c r="E24">
        <v>95</v>
      </c>
      <c r="F24">
        <f>F12*$C$4</f>
        <v>37.5</v>
      </c>
      <c r="G24">
        <f t="shared" ref="G24:G30" si="2">H12*$C$6</f>
        <v>31.5</v>
      </c>
      <c r="H24">
        <f t="shared" ref="H24:H26" si="3">E24-F24-G24</f>
        <v>26</v>
      </c>
      <c r="I24">
        <f t="shared" ref="I24:I26" si="4">E12*H24</f>
        <v>43290</v>
      </c>
    </row>
    <row r="25" spans="4:9" x14ac:dyDescent="0.3">
      <c r="D25" s="4" t="s">
        <v>10</v>
      </c>
      <c r="E25">
        <v>165</v>
      </c>
      <c r="F25">
        <f t="shared" ref="F24:F26" si="5">F13*$C$4</f>
        <v>50</v>
      </c>
      <c r="G25">
        <f t="shared" si="2"/>
        <v>78.75</v>
      </c>
      <c r="H25">
        <f t="shared" si="3"/>
        <v>36.25</v>
      </c>
      <c r="I25">
        <f t="shared" si="4"/>
        <v>0</v>
      </c>
    </row>
    <row r="26" spans="4:9" x14ac:dyDescent="0.3">
      <c r="D26" s="5" t="s">
        <v>11</v>
      </c>
      <c r="E26">
        <v>135</v>
      </c>
      <c r="F26">
        <f t="shared" si="5"/>
        <v>37.5</v>
      </c>
      <c r="G26">
        <f t="shared" si="2"/>
        <v>63</v>
      </c>
      <c r="H26">
        <f t="shared" si="3"/>
        <v>34.5</v>
      </c>
      <c r="I26">
        <f t="shared" si="4"/>
        <v>23011.5</v>
      </c>
    </row>
    <row r="27" spans="4:9" x14ac:dyDescent="0.3">
      <c r="G27" t="s">
        <v>28</v>
      </c>
      <c r="I27">
        <f>SUM(I23:I26)</f>
        <v>66330</v>
      </c>
    </row>
    <row r="29" spans="4:9" x14ac:dyDescent="0.3">
      <c r="D29" t="s">
        <v>23</v>
      </c>
    </row>
    <row r="30" spans="4:9" x14ac:dyDescent="0.3">
      <c r="D30" t="s">
        <v>24</v>
      </c>
      <c r="E30">
        <f>G15</f>
        <v>70000</v>
      </c>
      <c r="F30" t="s">
        <v>27</v>
      </c>
      <c r="G30">
        <f>C3</f>
        <v>70000</v>
      </c>
    </row>
    <row r="31" spans="4:9" x14ac:dyDescent="0.3">
      <c r="D31" t="s">
        <v>25</v>
      </c>
      <c r="E31">
        <f>I15</f>
        <v>6000</v>
      </c>
      <c r="F31" t="s">
        <v>27</v>
      </c>
      <c r="G31">
        <f>C5</f>
        <v>6000</v>
      </c>
    </row>
    <row r="32" spans="4:9" x14ac:dyDescent="0.3">
      <c r="D32" t="s">
        <v>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</dc:creator>
  <cp:lastModifiedBy>pavithran</cp:lastModifiedBy>
  <dcterms:created xsi:type="dcterms:W3CDTF">2022-03-08T09:10:03Z</dcterms:created>
  <dcterms:modified xsi:type="dcterms:W3CDTF">2022-03-08T11:22:16Z</dcterms:modified>
</cp:coreProperties>
</file>